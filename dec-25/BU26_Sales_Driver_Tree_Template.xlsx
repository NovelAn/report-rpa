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480" activeTab="1"/>
  </bookViews>
  <sheets>
    <sheet name="Data_Source" sheetId="1" r:id="rId1"/>
    <sheet name="Driver_Tree_View" sheetId="3" r:id="rId2"/>
  </sheets>
  <definedNames>
    <definedName name="Keys">Data_Source!$A$4:$A$100</definedName>
    <definedName name="Values_Ach">Data_Source!$F$4:$F$100</definedName>
    <definedName name="Values_Actual">Data_Source!$C$4:$C$100</definedName>
    <definedName name="Values_LY">Data_Source!$E$4:$E$100</definedName>
    <definedName name="Values_Target">Data_Source!$D$4:$D$100</definedName>
    <definedName name="Values_YoY">Data_Source!$G$4:$G$100</definedName>
    <definedName name="Value_Share">Data_Source!$H$4:$H$100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<sst xmlns="http://schemas.openxmlformats.org/spreadsheetml/2006/main" count="49" uniqueCount="28">
  <si>
    <t>使用说明: 请在下方更新每月数据，Dashboard页会自动刷新。不要修改'Channel_Key'列。</t>
  </si>
  <si>
    <t>Channel_Key</t>
  </si>
  <si>
    <t>Channel_Name</t>
  </si>
  <si>
    <t>Actual</t>
  </si>
  <si>
    <t>Target</t>
  </si>
  <si>
    <t>LY_Actual</t>
  </si>
  <si>
    <t>Ach % (Auto)</t>
  </si>
  <si>
    <t>YoY % (Auto)</t>
  </si>
  <si>
    <t>Share</t>
  </si>
  <si>
    <t>TOTAL</t>
  </si>
  <si>
    <t>Total Net Sales</t>
  </si>
  <si>
    <t>SOCIAL</t>
  </si>
  <si>
    <t>Social</t>
  </si>
  <si>
    <t>FF</t>
  </si>
  <si>
    <t>FF (Internal)</t>
  </si>
  <si>
    <t>CORE</t>
  </si>
  <si>
    <t>Core Business</t>
  </si>
  <si>
    <t>PFS</t>
  </si>
  <si>
    <t>PFS (Tmall)</t>
  </si>
  <si>
    <t>ORG</t>
  </si>
  <si>
    <t>DTC Organic</t>
  </si>
  <si>
    <t>Total Net Sales Value Driver Tree</t>
  </si>
  <si>
    <t>Ach%</t>
  </si>
  <si>
    <t>LY</t>
  </si>
  <si>
    <t>YoY</t>
  </si>
  <si>
    <t>Color Legend:</t>
  </si>
  <si>
    <t>■ Social (Risk)</t>
  </si>
  <si>
    <t>■ Core (Healthy)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</si>
</sst>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,,&quot;M&quot;"/>
    <numFmt numFmtId="177" formatCode="\+0%;\-0%"/>
  </numFmts>
  <fonts count="3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4"/>
      <color rgb="FF0F172A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i/>
      <u/>
      <sz val="20"/>
      <color rgb="FFC00000"/>
      <name val="宋体"/>
      <charset val="134"/>
      <scheme val="minor"/>
    </font>
    <font>
      <b/>
      <i/>
      <sz val="18"/>
      <color rgb="FF0F172A"/>
      <name val="宋体"/>
      <charset val="134"/>
      <scheme val="minor"/>
    </font>
    <font>
      <sz val="14"/>
      <color rgb="FF64748B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B91C1C"/>
      <name val="宋体"/>
      <charset val="134"/>
      <scheme val="minor"/>
    </font>
    <font>
      <sz val="11"/>
      <color rgb="FF15803D"/>
      <name val="宋体"/>
      <charset val="134"/>
      <scheme val="minor"/>
    </font>
    <font>
      <b/>
      <sz val="14"/>
      <color theme="1"/>
      <name val="宋体"/>
      <charset val="134"/>
      <scheme val="minor"/>
    </font>
    <font>
      <i/>
      <u/>
      <sz val="11"/>
      <color theme="1"/>
      <name val="宋体"/>
      <charset val="134"/>
      <scheme val="minor"/>
    </font>
    <font>
      <b/>
      <i/>
      <u/>
      <sz val="20"/>
      <color rgb="FF0F172A"/>
      <name val="宋体"/>
      <charset val="134"/>
      <scheme val="minor"/>
    </font>
    <font>
      <b/>
      <sz val="18"/>
      <color rgb="FF0F172A"/>
      <name val="宋体"/>
      <charset val="134"/>
      <scheme val="minor"/>
    </font>
    <font>
      <b/>
      <u/>
      <sz val="20"/>
      <color rgb="FF0F172A"/>
      <name val="宋体"/>
      <charset val="134"/>
      <scheme val="minor"/>
    </font>
    <font>
      <sz val="10"/>
      <color rgb="FF64748B"/>
      <name val="宋体"/>
      <charset val="134"/>
      <scheme val="minor"/>
    </font>
    <font>
      <b/>
      <i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61748D"/>
        <bgColor indexed="64"/>
      </patternFill>
    </fill>
    <fill>
      <patternFill patternType="solid">
        <fgColor rgb="FF008334"/>
        <bgColor indexed="64"/>
      </patternFill>
    </fill>
    <fill>
      <patternFill patternType="solid">
        <fgColor rgb="FFEDFEF3"/>
        <bgColor indexed="64"/>
      </patternFill>
    </fill>
    <fill>
      <patternFill patternType="solid">
        <fgColor rgb="FFA77D52"/>
        <bgColor indexed="64"/>
      </patternFill>
    </fill>
    <fill>
      <patternFill patternType="solid">
        <fgColor rgb="FFFFFBE9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3" borderId="13" applyNumberFormat="0" applyAlignment="0" applyProtection="0">
      <alignment vertical="center"/>
    </xf>
    <xf numFmtId="0" fontId="27" fillId="14" borderId="14" applyNumberFormat="0" applyAlignment="0" applyProtection="0">
      <alignment vertical="center"/>
    </xf>
    <xf numFmtId="0" fontId="28" fillId="14" borderId="13" applyNumberFormat="0" applyAlignment="0" applyProtection="0">
      <alignment vertical="center"/>
    </xf>
    <xf numFmtId="0" fontId="29" fillId="15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</cellStyleXfs>
  <cellXfs count="1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9" fontId="5" fillId="3" borderId="3" xfId="3" applyFont="1" applyFill="1" applyBorder="1" applyAlignment="1">
      <alignment horizontal="center"/>
    </xf>
    <xf numFmtId="9" fontId="5" fillId="3" borderId="0" xfId="3" applyFont="1" applyFill="1" applyAlignment="1">
      <alignment horizontal="center"/>
    </xf>
    <xf numFmtId="0" fontId="1" fillId="3" borderId="3" xfId="0" applyFont="1" applyFill="1" applyBorder="1"/>
    <xf numFmtId="0" fontId="6" fillId="0" borderId="0" xfId="0" applyFont="1" applyAlignment="1">
      <alignment horizontal="center" vertical="center"/>
    </xf>
    <xf numFmtId="0" fontId="0" fillId="3" borderId="3" xfId="0" applyFill="1" applyBorder="1"/>
    <xf numFmtId="0" fontId="0" fillId="3" borderId="0" xfId="0" applyFill="1" applyBorder="1"/>
    <xf numFmtId="0" fontId="0" fillId="3" borderId="4" xfId="0" applyFill="1" applyBorder="1"/>
    <xf numFmtId="0" fontId="0" fillId="3" borderId="5" xfId="0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Border="1"/>
    <xf numFmtId="0" fontId="1" fillId="3" borderId="0" xfId="0" applyFont="1" applyFill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9" fontId="5" fillId="3" borderId="7" xfId="3" applyFont="1" applyFill="1" applyBorder="1" applyAlignment="1">
      <alignment horizontal="center"/>
    </xf>
    <xf numFmtId="9" fontId="10" fillId="0" borderId="0" xfId="0" applyNumberFormat="1" applyFont="1" applyBorder="1" applyAlignment="1">
      <alignment horizontal="center" vertical="center"/>
    </xf>
    <xf numFmtId="0" fontId="1" fillId="3" borderId="7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6" fontId="12" fillId="5" borderId="3" xfId="0" applyNumberFormat="1" applyFont="1" applyFill="1" applyBorder="1" applyAlignment="1">
      <alignment horizontal="center" vertical="center"/>
    </xf>
    <xf numFmtId="176" fontId="12" fillId="5" borderId="0" xfId="0" applyNumberFormat="1" applyFont="1" applyFill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/>
    </xf>
    <xf numFmtId="176" fontId="13" fillId="5" borderId="0" xfId="0" applyNumberFormat="1" applyFont="1" applyFill="1" applyAlignment="1">
      <alignment horizontal="center"/>
    </xf>
    <xf numFmtId="0" fontId="1" fillId="5" borderId="3" xfId="0" applyFont="1" applyFill="1" applyBorder="1"/>
    <xf numFmtId="0" fontId="0" fillId="5" borderId="3" xfId="0" applyFill="1" applyBorder="1"/>
    <xf numFmtId="0" fontId="0" fillId="5" borderId="0" xfId="0" applyFill="1" applyBorder="1"/>
    <xf numFmtId="0" fontId="0" fillId="5" borderId="4" xfId="0" applyFill="1" applyBorder="1"/>
    <xf numFmtId="0" fontId="0" fillId="5" borderId="5" xfId="0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9" fontId="5" fillId="5" borderId="3" xfId="3" applyFont="1" applyFill="1" applyBorder="1" applyAlignment="1">
      <alignment horizontal="center"/>
    </xf>
    <xf numFmtId="9" fontId="5" fillId="5" borderId="0" xfId="3" applyFont="1" applyFill="1" applyAlignment="1">
      <alignment horizontal="center"/>
    </xf>
    <xf numFmtId="0" fontId="1" fillId="5" borderId="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76" fontId="12" fillId="5" borderId="7" xfId="0" applyNumberFormat="1" applyFont="1" applyFill="1" applyBorder="1" applyAlignment="1">
      <alignment horizontal="center" vertical="center"/>
    </xf>
    <xf numFmtId="176" fontId="13" fillId="5" borderId="7" xfId="0" applyNumberFormat="1" applyFont="1" applyFill="1" applyBorder="1" applyAlignment="1">
      <alignment horizontal="center"/>
    </xf>
    <xf numFmtId="0" fontId="1" fillId="5" borderId="7" xfId="0" applyFont="1" applyFill="1" applyBorder="1"/>
    <xf numFmtId="0" fontId="0" fillId="5" borderId="7" xfId="0" applyFill="1" applyBorder="1"/>
    <xf numFmtId="0" fontId="0" fillId="5" borderId="8" xfId="0" applyFill="1" applyBorder="1"/>
    <xf numFmtId="0" fontId="3" fillId="6" borderId="6" xfId="0" applyFont="1" applyFill="1" applyBorder="1" applyAlignment="1">
      <alignment horizontal="center" vertical="center"/>
    </xf>
    <xf numFmtId="9" fontId="5" fillId="5" borderId="7" xfId="3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76" fontId="14" fillId="5" borderId="3" xfId="0" applyNumberFormat="1" applyFont="1" applyFill="1" applyBorder="1" applyAlignment="1">
      <alignment horizontal="center" vertical="center"/>
    </xf>
    <xf numFmtId="176" fontId="14" fillId="5" borderId="0" xfId="0" applyNumberFormat="1" applyFont="1" applyFill="1" applyAlignment="1">
      <alignment horizontal="center" vertical="center"/>
    </xf>
    <xf numFmtId="9" fontId="5" fillId="5" borderId="3" xfId="3" applyFont="1" applyFill="1" applyBorder="1" applyAlignment="1">
      <alignment horizontal="center" vertical="center"/>
    </xf>
    <xf numFmtId="9" fontId="5" fillId="5" borderId="0" xfId="3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76" fontId="12" fillId="8" borderId="3" xfId="0" applyNumberFormat="1" applyFont="1" applyFill="1" applyBorder="1" applyAlignment="1">
      <alignment horizontal="center" vertical="center"/>
    </xf>
    <xf numFmtId="176" fontId="12" fillId="8" borderId="0" xfId="0" applyNumberFormat="1" applyFont="1" applyFill="1" applyAlignment="1">
      <alignment horizontal="center" vertical="center"/>
    </xf>
    <xf numFmtId="9" fontId="5" fillId="8" borderId="3" xfId="3" applyFont="1" applyFill="1" applyBorder="1" applyAlignment="1">
      <alignment horizontal="center"/>
    </xf>
    <xf numFmtId="9" fontId="5" fillId="8" borderId="0" xfId="3" applyFont="1" applyFill="1" applyAlignment="1">
      <alignment horizontal="center"/>
    </xf>
    <xf numFmtId="0" fontId="1" fillId="8" borderId="3" xfId="0" applyFont="1" applyFill="1" applyBorder="1"/>
    <xf numFmtId="0" fontId="0" fillId="8" borderId="3" xfId="0" applyFill="1" applyBorder="1"/>
    <xf numFmtId="0" fontId="0" fillId="8" borderId="0" xfId="0" applyFill="1" applyBorder="1"/>
    <xf numFmtId="0" fontId="0" fillId="8" borderId="4" xfId="0" applyFill="1" applyBorder="1"/>
    <xf numFmtId="0" fontId="0" fillId="8" borderId="5" xfId="0" applyFill="1" applyBorder="1"/>
    <xf numFmtId="0" fontId="1" fillId="8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3" fillId="4" borderId="6" xfId="0" applyFont="1" applyFill="1" applyBorder="1" applyAlignment="1">
      <alignment horizontal="center" vertical="center"/>
    </xf>
    <xf numFmtId="176" fontId="14" fillId="5" borderId="7" xfId="0" applyNumberFormat="1" applyFont="1" applyFill="1" applyBorder="1" applyAlignment="1">
      <alignment horizontal="center" vertical="center"/>
    </xf>
    <xf numFmtId="9" fontId="5" fillId="5" borderId="7" xfId="3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176" fontId="12" fillId="8" borderId="7" xfId="0" applyNumberFormat="1" applyFont="1" applyFill="1" applyBorder="1" applyAlignment="1">
      <alignment horizontal="center" vertical="center"/>
    </xf>
    <xf numFmtId="9" fontId="5" fillId="8" borderId="7" xfId="3" applyFont="1" applyFill="1" applyBorder="1" applyAlignment="1">
      <alignment horizontal="center"/>
    </xf>
    <xf numFmtId="0" fontId="1" fillId="8" borderId="7" xfId="0" applyFont="1" applyFill="1" applyBorder="1"/>
    <xf numFmtId="0" fontId="0" fillId="8" borderId="7" xfId="0" applyFill="1" applyBorder="1"/>
    <xf numFmtId="0" fontId="0" fillId="8" borderId="8" xfId="0" applyFill="1" applyBorder="1"/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176" fontId="14" fillId="10" borderId="3" xfId="0" applyNumberFormat="1" applyFont="1" applyFill="1" applyBorder="1" applyAlignment="1">
      <alignment horizontal="center" vertical="center"/>
    </xf>
    <xf numFmtId="176" fontId="14" fillId="10" borderId="0" xfId="0" applyNumberFormat="1" applyFont="1" applyFill="1" applyAlignment="1">
      <alignment horizontal="center" vertical="center"/>
    </xf>
    <xf numFmtId="9" fontId="5" fillId="10" borderId="3" xfId="3" applyFont="1" applyFill="1" applyBorder="1" applyAlignment="1">
      <alignment horizontal="center" vertical="center"/>
    </xf>
    <xf numFmtId="9" fontId="5" fillId="10" borderId="0" xfId="3" applyFont="1" applyFill="1" applyAlignment="1">
      <alignment horizontal="center" vertical="center"/>
    </xf>
    <xf numFmtId="0" fontId="1" fillId="10" borderId="3" xfId="0" applyFont="1" applyFill="1" applyBorder="1"/>
    <xf numFmtId="0" fontId="1" fillId="10" borderId="0" xfId="0" applyFont="1" applyFill="1" applyBorder="1" applyAlignment="1">
      <alignment horizontal="center" vertical="center"/>
    </xf>
    <xf numFmtId="0" fontId="0" fillId="10" borderId="3" xfId="0" applyFill="1" applyBorder="1"/>
    <xf numFmtId="0" fontId="0" fillId="10" borderId="0" xfId="0" applyFill="1" applyBorder="1"/>
    <xf numFmtId="0" fontId="0" fillId="10" borderId="4" xfId="0" applyFill="1" applyBorder="1"/>
    <xf numFmtId="0" fontId="0" fillId="10" borderId="5" xfId="0" applyFill="1" applyBorder="1"/>
    <xf numFmtId="0" fontId="3" fillId="9" borderId="6" xfId="0" applyFont="1" applyFill="1" applyBorder="1" applyAlignment="1">
      <alignment horizontal="center" vertical="center"/>
    </xf>
    <xf numFmtId="176" fontId="14" fillId="10" borderId="7" xfId="0" applyNumberFormat="1" applyFont="1" applyFill="1" applyBorder="1" applyAlignment="1">
      <alignment horizontal="center" vertical="center"/>
    </xf>
    <xf numFmtId="9" fontId="5" fillId="10" borderId="7" xfId="3" applyFont="1" applyFill="1" applyBorder="1" applyAlignment="1">
      <alignment horizontal="center" vertical="center"/>
    </xf>
    <xf numFmtId="0" fontId="1" fillId="10" borderId="7" xfId="0" applyFont="1" applyFill="1" applyBorder="1"/>
    <xf numFmtId="0" fontId="0" fillId="10" borderId="7" xfId="0" applyFill="1" applyBorder="1"/>
    <xf numFmtId="0" fontId="0" fillId="10" borderId="8" xfId="0" applyFill="1" applyBorder="1"/>
    <xf numFmtId="0" fontId="15" fillId="0" borderId="0" xfId="0" applyFont="1" applyAlignment="1">
      <alignment horizontal="left" vertical="center"/>
    </xf>
    <xf numFmtId="0" fontId="7" fillId="11" borderId="9" xfId="0" applyFont="1" applyFill="1" applyBorder="1"/>
    <xf numFmtId="0" fontId="16" fillId="0" borderId="0" xfId="0" applyFont="1"/>
    <xf numFmtId="3" fontId="16" fillId="0" borderId="0" xfId="0" applyNumberFormat="1" applyFont="1"/>
    <xf numFmtId="0" fontId="17" fillId="0" borderId="0" xfId="0" applyFont="1"/>
    <xf numFmtId="3" fontId="17" fillId="0" borderId="0" xfId="0" applyNumberFormat="1" applyFont="1"/>
    <xf numFmtId="9" fontId="16" fillId="0" borderId="0" xfId="0" applyNumberFormat="1" applyFont="1"/>
    <xf numFmtId="177" fontId="16" fillId="0" borderId="0" xfId="0" applyNumberFormat="1" applyFont="1"/>
    <xf numFmtId="9" fontId="17" fillId="0" borderId="0" xfId="0" applyNumberFormat="1" applyFont="1"/>
    <xf numFmtId="177" fontId="17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color rgb="FFB91C1C"/>
      </font>
      <numFmt numFmtId="177" formatCode="\+0%;\-0%"/>
    </dxf>
    <dxf>
      <font>
        <b val="1"/>
        <color rgb="FF15803D"/>
      </font>
      <numFmt numFmtId="177" formatCode="\+0%;\-0%"/>
    </dxf>
  </dxfs>
  <tableStyles count="0" defaultTableStyle="TableStyleMedium9" defaultPivotStyle="PivotStyleLight16"/>
  <colors>
    <mruColors>
      <color rgb="00FFF1F2"/>
      <color rgb="00008334"/>
      <color rgb="00EDFEF3"/>
      <color rgb="0061748D"/>
      <color rgb="00A77D52"/>
      <color rgb="00FFFBE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showGridLines="0" zoomScale="103" zoomScaleNormal="103" workbookViewId="0">
      <selection activeCell="B6" sqref="B6"/>
    </sheetView>
  </sheetViews>
  <sheetFormatPr defaultColWidth="9" defaultRowHeight="16.8" outlineLevelCol="7"/>
  <cols>
    <col min="1" max="7" width="21.1538461538462" customWidth="1"/>
    <col min="8" max="8" width="21.3076923076923" customWidth="1"/>
  </cols>
  <sheetData>
    <row r="1" spans="1:1">
      <c r="A1" s="102" t="s">
        <v>0</v>
      </c>
    </row>
    <row r="3" spans="1:8">
      <c r="A3" s="103" t="s">
        <v>1</v>
      </c>
      <c r="B3" s="103" t="s">
        <v>2</v>
      </c>
      <c r="C3" s="103" t="s">
        <v>3</v>
      </c>
      <c r="D3" s="103" t="s">
        <v>4</v>
      </c>
      <c r="E3" s="103" t="s">
        <v>5</v>
      </c>
      <c r="F3" s="103" t="s">
        <v>6</v>
      </c>
      <c r="G3" s="103" t="s">
        <v>7</v>
      </c>
      <c r="H3" s="103" t="s">
        <v>8</v>
      </c>
    </row>
    <row r="4" ht="17.6" spans="1:8">
      <c r="A4" s="104" t="s">
        <v>9</v>
      </c>
      <c r="B4" s="104" t="s">
        <v>10</v>
      </c>
      <c r="C4" s="105">
        <v>14470000</v>
      </c>
      <c r="D4" s="105">
        <v>16800000</v>
      </c>
      <c r="E4" s="105">
        <v>12350000</v>
      </c>
      <c r="F4" s="108">
        <f t="shared" ref="F4:F9" si="0">IF(D4&lt;&gt;0,C4/D4,0)</f>
        <v>0.861309523809524</v>
      </c>
      <c r="G4" s="109">
        <f t="shared" ref="G4:G9" si="1">IF(E4&lt;&gt;0,(C4-E4)/E4,0)</f>
        <v>0.17165991902834</v>
      </c>
      <c r="H4" s="108">
        <f>C4/$C$4</f>
        <v>1</v>
      </c>
    </row>
    <row r="5" spans="1:8">
      <c r="A5" s="106" t="s">
        <v>11</v>
      </c>
      <c r="B5" s="106" t="s">
        <v>12</v>
      </c>
      <c r="C5" s="107">
        <v>1610000</v>
      </c>
      <c r="D5" s="107">
        <v>1890000</v>
      </c>
      <c r="E5" s="107">
        <v>1900000</v>
      </c>
      <c r="F5" s="110">
        <f t="shared" si="0"/>
        <v>0.851851851851852</v>
      </c>
      <c r="G5" s="111">
        <f t="shared" si="1"/>
        <v>-0.152631578947368</v>
      </c>
      <c r="H5" s="110">
        <f>C5/$C$4</f>
        <v>0.111264685556323</v>
      </c>
    </row>
    <row r="6" spans="1:8">
      <c r="A6" s="106" t="s">
        <v>13</v>
      </c>
      <c r="B6" s="106" t="s">
        <v>14</v>
      </c>
      <c r="C6" s="107">
        <v>610000</v>
      </c>
      <c r="D6" s="107">
        <v>450000</v>
      </c>
      <c r="E6" s="107">
        <v>140000</v>
      </c>
      <c r="F6" s="110">
        <f t="shared" si="0"/>
        <v>1.35555555555556</v>
      </c>
      <c r="G6" s="111">
        <f t="shared" si="1"/>
        <v>3.35714285714286</v>
      </c>
      <c r="H6" s="110">
        <f>C6/$C$4</f>
        <v>0.0421561852107809</v>
      </c>
    </row>
    <row r="7" ht="17.6" spans="1:8">
      <c r="A7" s="104" t="s">
        <v>15</v>
      </c>
      <c r="B7" s="104" t="s">
        <v>16</v>
      </c>
      <c r="C7" s="105">
        <v>12250000</v>
      </c>
      <c r="D7" s="105">
        <v>14400000</v>
      </c>
      <c r="E7" s="105">
        <v>10300000</v>
      </c>
      <c r="F7" s="108">
        <f t="shared" si="0"/>
        <v>0.850694444444444</v>
      </c>
      <c r="G7" s="109">
        <f t="shared" si="1"/>
        <v>0.189320388349515</v>
      </c>
      <c r="H7" s="108">
        <f>C7/$C$4</f>
        <v>0.846579129232896</v>
      </c>
    </row>
    <row r="8" spans="1:8">
      <c r="A8" s="106" t="s">
        <v>17</v>
      </c>
      <c r="B8" s="106" t="s">
        <v>18</v>
      </c>
      <c r="C8" s="107">
        <v>12160000</v>
      </c>
      <c r="D8" s="107">
        <v>14300000</v>
      </c>
      <c r="E8" s="107">
        <v>10100000</v>
      </c>
      <c r="F8" s="110">
        <f t="shared" si="0"/>
        <v>0.85034965034965</v>
      </c>
      <c r="G8" s="111">
        <f t="shared" si="1"/>
        <v>0.203960396039604</v>
      </c>
      <c r="H8" s="110">
        <f>C8/$C$4</f>
        <v>0.840359364201797</v>
      </c>
    </row>
    <row r="9" spans="1:8">
      <c r="A9" s="106" t="s">
        <v>19</v>
      </c>
      <c r="B9" s="106" t="s">
        <v>20</v>
      </c>
      <c r="C9" s="107">
        <v>90000</v>
      </c>
      <c r="D9" s="107">
        <v>130000</v>
      </c>
      <c r="E9" s="107">
        <v>170000</v>
      </c>
      <c r="F9" s="110">
        <f t="shared" si="0"/>
        <v>0.692307692307692</v>
      </c>
      <c r="G9" s="111">
        <f t="shared" si="1"/>
        <v>-0.470588235294118</v>
      </c>
      <c r="H9" s="110">
        <f>C9/$C$4</f>
        <v>0.00621976503109883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O35"/>
  <sheetViews>
    <sheetView showGridLines="0" tabSelected="1" zoomScale="76" zoomScaleNormal="76" topLeftCell="A10" workbookViewId="0">
      <selection activeCell="C15" sqref="C15:K15"/>
    </sheetView>
  </sheetViews>
  <sheetFormatPr defaultColWidth="9" defaultRowHeight="16.8"/>
  <cols>
    <col min="1" max="1" width="2.71153846153846" customWidth="1"/>
    <col min="2" max="2" width="4.97115384615385" customWidth="1"/>
    <col min="3" max="3" width="7.25" customWidth="1"/>
    <col min="4" max="4" width="6.76923076923077" customWidth="1"/>
    <col min="5" max="5" width="4.97115384615385" customWidth="1"/>
    <col min="6" max="6" width="8.61538461538461" customWidth="1"/>
    <col min="7" max="7" width="4.97115384615385" customWidth="1"/>
    <col min="8" max="8" width="6.23076923076923" customWidth="1"/>
    <col min="9" max="9" width="4.97115384615385" customWidth="1"/>
    <col min="10" max="10" width="8.30769230769231" customWidth="1"/>
    <col min="11" max="15" width="4.97115384615385" customWidth="1"/>
    <col min="16" max="16" width="9.15384615384615" customWidth="1"/>
    <col min="17" max="17" width="4.97115384615385" customWidth="1"/>
    <col min="18" max="18" width="9.84615384615385" customWidth="1"/>
    <col min="19" max="19" width="4.97115384615385" customWidth="1"/>
    <col min="20" max="20" width="8.46153846153846" customWidth="1"/>
    <col min="21" max="21" width="4.97115384615385" customWidth="1"/>
    <col min="22" max="22" width="8.30769230769231" customWidth="1"/>
    <col min="23" max="23" width="4.97115384615385" customWidth="1"/>
    <col min="24" max="24" width="9.84615384615385" customWidth="1"/>
    <col min="25" max="25" width="4.97115384615385" customWidth="1"/>
    <col min="26" max="26" width="6.23076923076923" customWidth="1"/>
    <col min="27" max="27" width="4.97115384615385" customWidth="1"/>
    <col min="28" max="28" width="9.15384615384615" customWidth="1"/>
    <col min="29" max="29" width="4.97115384615385" customWidth="1"/>
    <col min="30" max="30" width="9.84615384615385" customWidth="1"/>
    <col min="31" max="31" width="4.97115384615385" customWidth="1"/>
    <col min="32" max="32" width="6.23076923076923" customWidth="1"/>
    <col min="33" max="33" width="4.97115384615385" customWidth="1"/>
    <col min="34" max="34" width="8.30769230769231" customWidth="1"/>
    <col min="35" max="35" width="4.97115384615385" customWidth="1"/>
    <col min="36" max="36" width="9.84615384615385" customWidth="1"/>
    <col min="37" max="37" width="4.97115384615385" customWidth="1"/>
    <col min="38" max="38" width="6.23076923076923" customWidth="1"/>
    <col min="39" max="39" width="4.97115384615385" customWidth="1"/>
    <col min="40" max="40" width="8.30769230769231" customWidth="1"/>
    <col min="41" max="41" width="4.97115384615385" customWidth="1"/>
  </cols>
  <sheetData>
    <row r="2" spans="2:27">
      <c r="B2" s="5" t="s">
        <v>21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2:27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5" ht="23" customHeight="1" spans="15:23">
      <c r="O5" s="32" t="str">
        <f>VLOOKUP("TOTAL",Data_Source!$A$4:$B$20,2,FALSE)</f>
        <v>Total Net Sales</v>
      </c>
      <c r="P5" s="33"/>
      <c r="Q5" s="33"/>
      <c r="R5" s="33"/>
      <c r="S5" s="33"/>
      <c r="T5" s="33"/>
      <c r="U5" s="33"/>
      <c r="V5" s="33"/>
      <c r="W5" s="48"/>
    </row>
    <row r="6" s="1" customFormat="1" ht="23" customHeight="1" spans="15:23">
      <c r="O6" s="34">
        <f>SUMIF(Keys,"TOTAL",Values_Actual)</f>
        <v>14470000</v>
      </c>
      <c r="P6" s="35"/>
      <c r="Q6" s="35"/>
      <c r="R6" s="35"/>
      <c r="S6" s="35"/>
      <c r="T6" s="35"/>
      <c r="U6" s="35"/>
      <c r="V6" s="35"/>
      <c r="W6" s="49"/>
    </row>
    <row r="7" s="1" customFormat="1" ht="23" customHeight="1" spans="15:23">
      <c r="O7" s="34"/>
      <c r="P7" s="35"/>
      <c r="Q7" s="35"/>
      <c r="R7" s="35"/>
      <c r="S7" s="35"/>
      <c r="T7" s="35"/>
      <c r="U7" s="35"/>
      <c r="V7" s="35"/>
      <c r="W7" s="49"/>
    </row>
    <row r="8" ht="23" customHeight="1" spans="15:23">
      <c r="O8" s="36"/>
      <c r="P8" s="37"/>
      <c r="Q8" s="37"/>
      <c r="R8" s="37"/>
      <c r="S8" s="37"/>
      <c r="T8" s="37"/>
      <c r="U8" s="37"/>
      <c r="V8" s="37"/>
      <c r="W8" s="50"/>
    </row>
    <row r="9" s="2" customFormat="1" ht="23" customHeight="1" spans="15:23">
      <c r="O9" s="38"/>
      <c r="P9" s="13" t="s">
        <v>4</v>
      </c>
      <c r="Q9" s="47"/>
      <c r="R9" s="23">
        <f>SUMIF(Keys,"TOTAL",Values_Target)</f>
        <v>16800000</v>
      </c>
      <c r="S9" s="47"/>
      <c r="T9" s="13" t="s">
        <v>22</v>
      </c>
      <c r="U9" s="47"/>
      <c r="V9" s="28">
        <f>SUMIF(Keys,"TOTAL",Values_Ach)</f>
        <v>0.861309523809524</v>
      </c>
      <c r="W9" s="51"/>
    </row>
    <row r="10" s="2" customFormat="1" ht="23" customHeight="1" spans="15:23">
      <c r="O10" s="38"/>
      <c r="P10" s="13" t="s">
        <v>23</v>
      </c>
      <c r="Q10" s="47"/>
      <c r="R10" s="23">
        <f>SUMIF(Keys,"TOTAL",Values_LY)</f>
        <v>12350000</v>
      </c>
      <c r="S10" s="47"/>
      <c r="T10" s="13" t="s">
        <v>24</v>
      </c>
      <c r="U10" s="47"/>
      <c r="V10" s="28">
        <f>SUMIF(Keys,"TOTAL",Values_YoY)</f>
        <v>0.17165991902834</v>
      </c>
      <c r="W10" s="51"/>
    </row>
    <row r="11" ht="23" customHeight="1" spans="15:23">
      <c r="O11" s="39"/>
      <c r="P11" s="40"/>
      <c r="Q11" s="40"/>
      <c r="R11" s="40"/>
      <c r="S11" s="40"/>
      <c r="T11" s="40"/>
      <c r="U11" s="40"/>
      <c r="V11" s="40"/>
      <c r="W11" s="52"/>
    </row>
    <row r="12" ht="23" customHeight="1" spans="15:23">
      <c r="O12" s="41"/>
      <c r="P12" s="42"/>
      <c r="Q12" s="42"/>
      <c r="R12" s="42"/>
      <c r="S12" s="42"/>
      <c r="T12" s="42"/>
      <c r="U12" s="42"/>
      <c r="V12" s="42"/>
      <c r="W12" s="53"/>
    </row>
    <row r="13" ht="23" customHeight="1" spans="19:19">
      <c r="S13" s="21"/>
    </row>
    <row r="14" ht="23" customHeight="1" spans="7:31">
      <c r="G14" s="21"/>
      <c r="S14" s="21"/>
      <c r="AE14" s="21"/>
    </row>
    <row r="15" ht="23" customHeight="1" spans="3:35">
      <c r="C15" s="6" t="str">
        <f>VLOOKUP("SOCIAL",Data_Source!$A$4:$B$20,2,FALSE)</f>
        <v>Social</v>
      </c>
      <c r="D15" s="7"/>
      <c r="E15" s="7"/>
      <c r="F15" s="7"/>
      <c r="G15" s="7"/>
      <c r="H15" s="7"/>
      <c r="I15" s="7"/>
      <c r="J15" s="7"/>
      <c r="K15" s="24"/>
      <c r="L15" s="4"/>
      <c r="M15" s="4"/>
      <c r="N15" s="4"/>
      <c r="O15" s="43" t="str">
        <f>VLOOKUP("FF",Data_Source!$A$4:$B$20,2,FALSE)</f>
        <v>FF (Internal)</v>
      </c>
      <c r="P15" s="44"/>
      <c r="Q15" s="44"/>
      <c r="R15" s="44"/>
      <c r="S15" s="44"/>
      <c r="T15" s="44"/>
      <c r="U15" s="44"/>
      <c r="V15" s="44"/>
      <c r="W15" s="54"/>
      <c r="X15" s="4"/>
      <c r="Y15" s="4"/>
      <c r="Z15" s="4"/>
      <c r="AA15" s="62" t="str">
        <f>VLOOKUP("CORE",Data_Source!$A$4:$B$20,2,FALSE)</f>
        <v>Core Business</v>
      </c>
      <c r="AB15" s="63"/>
      <c r="AC15" s="63"/>
      <c r="AD15" s="63"/>
      <c r="AE15" s="63"/>
      <c r="AF15" s="63"/>
      <c r="AG15" s="63"/>
      <c r="AH15" s="63"/>
      <c r="AI15" s="78"/>
    </row>
    <row r="16" s="1" customFormat="1" ht="23" customHeight="1" spans="3:35">
      <c r="C16" s="8" cm="1">
        <f t="array" ref="C16">SUMIF(Keys,"SOCIAL",Values_Actual)</f>
        <v>1610000</v>
      </c>
      <c r="D16" s="9"/>
      <c r="E16" s="9"/>
      <c r="F16" s="9"/>
      <c r="G16" s="9"/>
      <c r="H16" s="9"/>
      <c r="I16" s="9"/>
      <c r="J16" s="9"/>
      <c r="K16" s="25"/>
      <c r="L16" s="26"/>
      <c r="M16" s="26"/>
      <c r="N16" s="26"/>
      <c r="O16" s="34" cm="1">
        <f t="array" ref="O16">SUMIF(Keys,"FF",Values_Actual)</f>
        <v>610000</v>
      </c>
      <c r="P16" s="35"/>
      <c r="Q16" s="35"/>
      <c r="R16" s="35"/>
      <c r="S16" s="35"/>
      <c r="T16" s="35"/>
      <c r="U16" s="35"/>
      <c r="V16" s="35"/>
      <c r="W16" s="49"/>
      <c r="AA16" s="64" cm="1">
        <f t="array" ref="AA16">SUMIF(Keys,"CORE",Values_Actual)</f>
        <v>12250000</v>
      </c>
      <c r="AB16" s="65"/>
      <c r="AC16" s="65"/>
      <c r="AD16" s="65"/>
      <c r="AE16" s="65"/>
      <c r="AF16" s="65"/>
      <c r="AG16" s="65"/>
      <c r="AH16" s="65"/>
      <c r="AI16" s="79"/>
    </row>
    <row r="17" s="1" customFormat="1" ht="23" customHeight="1" spans="3:35">
      <c r="C17" s="8"/>
      <c r="D17" s="9"/>
      <c r="E17" s="9"/>
      <c r="F17" s="9"/>
      <c r="G17" s="9"/>
      <c r="H17" s="9"/>
      <c r="I17" s="9"/>
      <c r="J17" s="9"/>
      <c r="K17" s="25"/>
      <c r="L17" s="26"/>
      <c r="M17" s="26"/>
      <c r="N17" s="26"/>
      <c r="O17" s="34"/>
      <c r="P17" s="35"/>
      <c r="Q17" s="35"/>
      <c r="R17" s="35"/>
      <c r="S17" s="35"/>
      <c r="T17" s="35"/>
      <c r="U17" s="35"/>
      <c r="V17" s="35"/>
      <c r="W17" s="49"/>
      <c r="AA17" s="64"/>
      <c r="AB17" s="65"/>
      <c r="AC17" s="65"/>
      <c r="AD17" s="65"/>
      <c r="AE17" s="65"/>
      <c r="AF17" s="65"/>
      <c r="AG17" s="65"/>
      <c r="AH17" s="65"/>
      <c r="AI17" s="79"/>
    </row>
    <row r="18" ht="23" customHeight="1" spans="3:35">
      <c r="C18" s="10" cm="1">
        <f t="array" ref="C18">SUMIF(Keys,"SOCIAL",Value_Share)</f>
        <v>0.111264685556323</v>
      </c>
      <c r="D18" s="11"/>
      <c r="E18" s="11"/>
      <c r="F18" s="11"/>
      <c r="G18" s="11"/>
      <c r="H18" s="11"/>
      <c r="I18" s="11"/>
      <c r="J18" s="11"/>
      <c r="K18" s="27"/>
      <c r="O18" s="45" cm="1">
        <f t="array" ref="O18">SUMIF(Keys,"FF",Value_Share)</f>
        <v>0.0421561852107809</v>
      </c>
      <c r="P18" s="46"/>
      <c r="Q18" s="46"/>
      <c r="R18" s="46"/>
      <c r="S18" s="46"/>
      <c r="T18" s="46"/>
      <c r="U18" s="46"/>
      <c r="V18" s="46"/>
      <c r="W18" s="55"/>
      <c r="AA18" s="66" cm="1">
        <f t="array" ref="AA18">SUMIF(Keys,"CORE",Value_Share)</f>
        <v>0.846579129232896</v>
      </c>
      <c r="AB18" s="67"/>
      <c r="AC18" s="67"/>
      <c r="AD18" s="67"/>
      <c r="AE18" s="67"/>
      <c r="AF18" s="67"/>
      <c r="AG18" s="67"/>
      <c r="AH18" s="67"/>
      <c r="AI18" s="80"/>
    </row>
    <row r="19" s="2" customFormat="1" ht="23" customHeight="1" spans="3:35">
      <c r="C19" s="12"/>
      <c r="D19" s="13" t="s">
        <v>4</v>
      </c>
      <c r="E19" s="22"/>
      <c r="F19" s="23" cm="1">
        <f t="array" ref="F19">SUMIF(Keys,"SOCIAL",Values_Target)</f>
        <v>1890000</v>
      </c>
      <c r="G19" s="22"/>
      <c r="H19" s="13" t="s">
        <v>22</v>
      </c>
      <c r="I19" s="22"/>
      <c r="J19" s="28" cm="1">
        <f t="array" ref="J19">SUMIF(Keys,"SOCIAL",Values_Ach)</f>
        <v>0.851851851851852</v>
      </c>
      <c r="K19" s="29"/>
      <c r="O19" s="38"/>
      <c r="P19" s="13" t="s">
        <v>4</v>
      </c>
      <c r="Q19" s="47"/>
      <c r="R19" s="23" cm="1">
        <f t="array" ref="R19">SUMIF(Keys,"FF",Values_Target)</f>
        <v>450000</v>
      </c>
      <c r="S19" s="47"/>
      <c r="T19" s="13" t="s">
        <v>22</v>
      </c>
      <c r="U19" s="47"/>
      <c r="V19" s="28">
        <f>SUMIF(Keys,"FF",Values_Ach)</f>
        <v>1.35555555555556</v>
      </c>
      <c r="W19" s="51"/>
      <c r="AA19" s="68"/>
      <c r="AB19" s="13" t="s">
        <v>4</v>
      </c>
      <c r="AC19" s="73"/>
      <c r="AD19" s="23">
        <f>SUMIF(Keys,"CORE",Values_Target)</f>
        <v>14400000</v>
      </c>
      <c r="AE19" s="73"/>
      <c r="AF19" s="13" t="s">
        <v>22</v>
      </c>
      <c r="AG19" s="73"/>
      <c r="AH19" s="28">
        <f>SUMIF(Keys,"CORE",Values_Ach)</f>
        <v>0.850694444444444</v>
      </c>
      <c r="AI19" s="81"/>
    </row>
    <row r="20" s="2" customFormat="1" ht="23" customHeight="1" spans="3:35">
      <c r="C20" s="12"/>
      <c r="D20" s="13" t="s">
        <v>23</v>
      </c>
      <c r="E20" s="22"/>
      <c r="F20" s="23" cm="1">
        <f t="array" ref="F20">SUMIF(Keys,"SOCIAL",Values_LY)</f>
        <v>1900000</v>
      </c>
      <c r="G20" s="22"/>
      <c r="H20" s="13" t="s">
        <v>24</v>
      </c>
      <c r="I20" s="22"/>
      <c r="J20" s="28" cm="1">
        <f t="array" ref="J20">SUMIF(Keys,"SOCIAL",Values_YoY)</f>
        <v>-0.152631578947368</v>
      </c>
      <c r="K20" s="29"/>
      <c r="O20" s="38"/>
      <c r="P20" s="13" t="s">
        <v>23</v>
      </c>
      <c r="Q20" s="47"/>
      <c r="R20" s="23">
        <f>SUMIF(Keys,"FF",Values_LY)</f>
        <v>140000</v>
      </c>
      <c r="S20" s="47"/>
      <c r="T20" s="13" t="s">
        <v>24</v>
      </c>
      <c r="U20" s="47"/>
      <c r="V20" s="28">
        <f>SUMIF(Keys,"FF",Values_YoY)</f>
        <v>3.35714285714286</v>
      </c>
      <c r="W20" s="51"/>
      <c r="AA20" s="68"/>
      <c r="AB20" s="13" t="s">
        <v>23</v>
      </c>
      <c r="AC20" s="73"/>
      <c r="AD20" s="23">
        <f>SUMIF(Keys,"CORE",Values_LY)</f>
        <v>10300000</v>
      </c>
      <c r="AE20" s="73"/>
      <c r="AF20" s="13" t="s">
        <v>24</v>
      </c>
      <c r="AG20" s="73"/>
      <c r="AH20" s="28">
        <f>SUMIF(Keys,"CORE",Values_YoY)</f>
        <v>0.189320388349515</v>
      </c>
      <c r="AI20" s="81"/>
    </row>
    <row r="21" ht="23" customHeight="1" spans="3:35">
      <c r="C21" s="14"/>
      <c r="D21" s="15"/>
      <c r="E21" s="15"/>
      <c r="F21" s="15"/>
      <c r="G21" s="15"/>
      <c r="H21" s="15"/>
      <c r="I21" s="15"/>
      <c r="J21" s="15"/>
      <c r="K21" s="30"/>
      <c r="O21" s="39"/>
      <c r="P21" s="40"/>
      <c r="Q21" s="40"/>
      <c r="R21" s="40"/>
      <c r="S21" s="40"/>
      <c r="T21" s="40"/>
      <c r="U21" s="40"/>
      <c r="V21" s="40"/>
      <c r="W21" s="52"/>
      <c r="AA21" s="69"/>
      <c r="AB21" s="70"/>
      <c r="AC21" s="70"/>
      <c r="AD21" s="70"/>
      <c r="AE21" s="70"/>
      <c r="AF21" s="70"/>
      <c r="AG21" s="70"/>
      <c r="AH21" s="70"/>
      <c r="AI21" s="82"/>
    </row>
    <row r="22" ht="23" customHeight="1" spans="3:35">
      <c r="C22" s="16"/>
      <c r="D22" s="17"/>
      <c r="E22" s="17"/>
      <c r="F22" s="17"/>
      <c r="G22" s="17"/>
      <c r="H22" s="17"/>
      <c r="I22" s="17"/>
      <c r="J22" s="17"/>
      <c r="K22" s="31"/>
      <c r="O22" s="41"/>
      <c r="P22" s="42"/>
      <c r="Q22" s="42"/>
      <c r="R22" s="42"/>
      <c r="S22" s="42"/>
      <c r="T22" s="42"/>
      <c r="U22" s="42"/>
      <c r="V22" s="42"/>
      <c r="W22" s="53"/>
      <c r="AA22" s="71"/>
      <c r="AB22" s="72"/>
      <c r="AC22" s="72"/>
      <c r="AD22" s="72"/>
      <c r="AE22" s="72"/>
      <c r="AF22" s="72"/>
      <c r="AG22" s="72"/>
      <c r="AH22" s="72"/>
      <c r="AI22" s="83"/>
    </row>
    <row r="23" s="3" customFormat="1" ht="23" customHeight="1" spans="31:35">
      <c r="AE23" s="74"/>
      <c r="AF23" s="74"/>
      <c r="AG23" s="74"/>
      <c r="AH23" s="74"/>
      <c r="AI23" s="74"/>
    </row>
    <row r="24" ht="23" customHeight="1" spans="25:41">
      <c r="Y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="4" customFormat="1" ht="23" customHeight="1" spans="21:41">
      <c r="U25" s="56" t="str">
        <f>VLOOKUP("PFS",Data_Source!$A$4:$B$20,2,FALSE)</f>
        <v>PFS (Tmall)</v>
      </c>
      <c r="V25" s="57"/>
      <c r="W25" s="57"/>
      <c r="X25" s="57"/>
      <c r="Y25" s="57"/>
      <c r="Z25" s="57"/>
      <c r="AA25" s="57"/>
      <c r="AB25" s="57"/>
      <c r="AC25" s="75"/>
      <c r="AG25" s="84" t="str">
        <f>VLOOKUP("ORG",Data_Source!$A$4:$B$20,2,FALSE)</f>
        <v>DTC Organic</v>
      </c>
      <c r="AH25" s="85"/>
      <c r="AI25" s="85"/>
      <c r="AJ25" s="85"/>
      <c r="AK25" s="85"/>
      <c r="AL25" s="85"/>
      <c r="AM25" s="85"/>
      <c r="AN25" s="85"/>
      <c r="AO25" s="96"/>
    </row>
    <row r="26" s="1" customFormat="1" ht="23" customHeight="1" spans="21:41">
      <c r="U26" s="58" cm="1">
        <f t="array" ref="U26">SUMIF(Keys,"PFS",Values_Actual)</f>
        <v>12160000</v>
      </c>
      <c r="V26" s="59"/>
      <c r="W26" s="59"/>
      <c r="X26" s="59"/>
      <c r="Y26" s="59"/>
      <c r="Z26" s="59"/>
      <c r="AA26" s="59"/>
      <c r="AB26" s="59"/>
      <c r="AC26" s="76"/>
      <c r="AG26" s="86" cm="1">
        <f t="array" ref="AG26">SUMIF(Keys,"ORG",Values_Actual)</f>
        <v>90000</v>
      </c>
      <c r="AH26" s="87"/>
      <c r="AI26" s="87"/>
      <c r="AJ26" s="87"/>
      <c r="AK26" s="87"/>
      <c r="AL26" s="87"/>
      <c r="AM26" s="87"/>
      <c r="AN26" s="87"/>
      <c r="AO26" s="97"/>
    </row>
    <row r="27" s="1" customFormat="1" ht="23" customHeight="1" spans="21:41">
      <c r="U27" s="58"/>
      <c r="V27" s="59"/>
      <c r="W27" s="59"/>
      <c r="X27" s="59"/>
      <c r="Y27" s="59"/>
      <c r="Z27" s="59"/>
      <c r="AA27" s="59"/>
      <c r="AB27" s="59"/>
      <c r="AC27" s="76"/>
      <c r="AG27" s="86"/>
      <c r="AH27" s="87"/>
      <c r="AI27" s="87"/>
      <c r="AJ27" s="87"/>
      <c r="AK27" s="87"/>
      <c r="AL27" s="87"/>
      <c r="AM27" s="87"/>
      <c r="AN27" s="87"/>
      <c r="AO27" s="97"/>
    </row>
    <row r="28" s="1" customFormat="1" ht="23" customHeight="1" spans="21:41">
      <c r="U28" s="60" cm="1">
        <f t="array" ref="U28">SUMIF(Keys,"PFS",Value_Share)</f>
        <v>0.840359364201797</v>
      </c>
      <c r="V28" s="61"/>
      <c r="W28" s="61"/>
      <c r="X28" s="61"/>
      <c r="Y28" s="61"/>
      <c r="Z28" s="61"/>
      <c r="AA28" s="61"/>
      <c r="AB28" s="61"/>
      <c r="AC28" s="77"/>
      <c r="AG28" s="88" cm="1">
        <f t="array" ref="AG28">SUMIF(Keys,"ORG",Value_Share)</f>
        <v>0.00621976503109883</v>
      </c>
      <c r="AH28" s="89"/>
      <c r="AI28" s="89"/>
      <c r="AJ28" s="89"/>
      <c r="AK28" s="89"/>
      <c r="AL28" s="89"/>
      <c r="AM28" s="89"/>
      <c r="AN28" s="89"/>
      <c r="AO28" s="98"/>
    </row>
    <row r="29" s="2" customFormat="1" ht="23" customHeight="1" spans="21:41">
      <c r="U29" s="38"/>
      <c r="V29" s="13" t="s">
        <v>4</v>
      </c>
      <c r="W29" s="47"/>
      <c r="X29" s="23">
        <f>SUMIF(Keys,"PFS",Values_Target)</f>
        <v>14300000</v>
      </c>
      <c r="Y29" s="47"/>
      <c r="Z29" s="13" t="s">
        <v>22</v>
      </c>
      <c r="AA29" s="47"/>
      <c r="AB29" s="28">
        <f>SUMIF(Keys,"PFS",Values_Ach)</f>
        <v>0.85034965034965</v>
      </c>
      <c r="AC29" s="51"/>
      <c r="AG29" s="90"/>
      <c r="AH29" s="13" t="s">
        <v>4</v>
      </c>
      <c r="AI29" s="91"/>
      <c r="AJ29" s="23" cm="1">
        <f t="array" ref="AJ29">SUMIF(Keys,"ORG",Values_Target)</f>
        <v>130000</v>
      </c>
      <c r="AK29" s="91"/>
      <c r="AL29" s="13" t="s">
        <v>22</v>
      </c>
      <c r="AM29" s="91"/>
      <c r="AN29" s="28" cm="1">
        <f t="array" ref="AN29">SUMIF(Keys,"ORG",Values_Ach)</f>
        <v>0.692307692307692</v>
      </c>
      <c r="AO29" s="99"/>
    </row>
    <row r="30" s="2" customFormat="1" ht="23" customHeight="1" spans="21:41">
      <c r="U30" s="38"/>
      <c r="V30" s="13" t="s">
        <v>23</v>
      </c>
      <c r="W30" s="47"/>
      <c r="X30" s="23">
        <f>SUMIF(Keys,"PFS",Values_LY)</f>
        <v>10100000</v>
      </c>
      <c r="Y30" s="47"/>
      <c r="Z30" s="13" t="s">
        <v>24</v>
      </c>
      <c r="AA30" s="47"/>
      <c r="AB30" s="28">
        <f>SUMIF(Keys,"PFS",Values_YoY)</f>
        <v>0.203960396039604</v>
      </c>
      <c r="AC30" s="51"/>
      <c r="AG30" s="90"/>
      <c r="AH30" s="13" t="s">
        <v>23</v>
      </c>
      <c r="AI30" s="91"/>
      <c r="AJ30" s="23" cm="1">
        <f t="array" ref="AJ30">SUMIF(Keys,"ORG",Values_LY)</f>
        <v>170000</v>
      </c>
      <c r="AK30" s="91"/>
      <c r="AL30" s="13" t="s">
        <v>24</v>
      </c>
      <c r="AM30" s="91"/>
      <c r="AN30" s="28" cm="1">
        <f t="array" ref="AN30">SUMIF(Keys,"ORG",Values_YoY)</f>
        <v>-0.470588235294118</v>
      </c>
      <c r="AO30" s="99"/>
    </row>
    <row r="31" ht="23" customHeight="1" spans="21:41">
      <c r="U31" s="39"/>
      <c r="V31" s="40"/>
      <c r="W31" s="40"/>
      <c r="X31" s="40"/>
      <c r="Y31" s="40"/>
      <c r="Z31" s="40"/>
      <c r="AA31" s="40"/>
      <c r="AB31" s="40"/>
      <c r="AC31" s="52"/>
      <c r="AG31" s="92"/>
      <c r="AH31" s="93"/>
      <c r="AI31" s="93"/>
      <c r="AJ31" s="93"/>
      <c r="AK31" s="93"/>
      <c r="AL31" s="93"/>
      <c r="AM31" s="93"/>
      <c r="AN31" s="93"/>
      <c r="AO31" s="100"/>
    </row>
    <row r="32" ht="23" customHeight="1" spans="21:41">
      <c r="U32" s="41"/>
      <c r="V32" s="42"/>
      <c r="W32" s="42"/>
      <c r="X32" s="42"/>
      <c r="Y32" s="42"/>
      <c r="Z32" s="42"/>
      <c r="AA32" s="42"/>
      <c r="AB32" s="42"/>
      <c r="AC32" s="53"/>
      <c r="AG32" s="94"/>
      <c r="AH32" s="95"/>
      <c r="AI32" s="95"/>
      <c r="AJ32" s="95"/>
      <c r="AK32" s="95"/>
      <c r="AL32" s="95"/>
      <c r="AM32" s="95"/>
      <c r="AN32" s="95"/>
      <c r="AO32" s="101"/>
    </row>
    <row r="33" spans="3:3">
      <c r="C33" s="18" t="s">
        <v>25</v>
      </c>
    </row>
    <row r="34" spans="3:3">
      <c r="C34" s="19" t="s">
        <v>26</v>
      </c>
    </row>
    <row r="35" spans="3:3">
      <c r="C35" s="20" t="s">
        <v>27</v>
      </c>
    </row>
  </sheetData>
  <mergeCells count="18">
    <mergeCell ref="O5:W5"/>
    <mergeCell ref="C15:K15"/>
    <mergeCell ref="O15:W15"/>
    <mergeCell ref="AA15:AI15"/>
    <mergeCell ref="C18:K18"/>
    <mergeCell ref="O18:W18"/>
    <mergeCell ref="AA18:AI18"/>
    <mergeCell ref="U25:AC25"/>
    <mergeCell ref="AG25:AO25"/>
    <mergeCell ref="U28:AC28"/>
    <mergeCell ref="AG28:AO28"/>
    <mergeCell ref="B2:AA3"/>
    <mergeCell ref="O6:W7"/>
    <mergeCell ref="O16:W17"/>
    <mergeCell ref="C16:K17"/>
    <mergeCell ref="AA16:AI17"/>
    <mergeCell ref="U26:AC27"/>
    <mergeCell ref="AG26:AO27"/>
  </mergeCells>
  <conditionalFormatting sqref="V9">
    <cfRule type="cellIs" dxfId="0" priority="25" operator="lessThan">
      <formula>1</formula>
    </cfRule>
    <cfRule type="cellIs" dxfId="1" priority="26" operator="greaterThanOrEqual">
      <formula>1</formula>
    </cfRule>
  </conditionalFormatting>
  <conditionalFormatting sqref="V10">
    <cfRule type="cellIs" dxfId="0" priority="27" operator="lessThan">
      <formula>0</formula>
    </cfRule>
    <cfRule type="cellIs" dxfId="1" priority="28" operator="greaterThanOrEqual">
      <formula>0</formula>
    </cfRule>
  </conditionalFormatting>
  <conditionalFormatting sqref="J19">
    <cfRule type="cellIs" dxfId="1" priority="18" operator="greaterThanOrEqual">
      <formula>1</formula>
    </cfRule>
    <cfRule type="cellIs" dxfId="0" priority="17" operator="lessThan">
      <formula>1</formula>
    </cfRule>
  </conditionalFormatting>
  <conditionalFormatting sqref="V19">
    <cfRule type="cellIs" dxfId="1" priority="2" operator="greaterThanOrEqual">
      <formula>1</formula>
    </cfRule>
    <cfRule type="cellIs" dxfId="0" priority="1" operator="lessThan">
      <formula>1</formula>
    </cfRule>
  </conditionalFormatting>
  <conditionalFormatting sqref="AH19">
    <cfRule type="cellIs" dxfId="1" priority="14" operator="greaterThanOrEqual">
      <formula>1</formula>
    </cfRule>
    <cfRule type="cellIs" dxfId="0" priority="13" operator="lessThan">
      <formula>1</formula>
    </cfRule>
  </conditionalFormatting>
  <conditionalFormatting sqref="J20">
    <cfRule type="cellIs" dxfId="1" priority="20" operator="greaterThanOrEqual">
      <formula>0</formula>
    </cfRule>
    <cfRule type="cellIs" dxfId="0" priority="19" operator="lessThan">
      <formula>0</formula>
    </cfRule>
  </conditionalFormatting>
  <conditionalFormatting sqref="V20">
    <cfRule type="cellIs" dxfId="1" priority="4" operator="greaterThanOrEqual">
      <formula>0</formula>
    </cfRule>
    <cfRule type="cellIs" dxfId="0" priority="3" operator="lessThan">
      <formula>0</formula>
    </cfRule>
  </conditionalFormatting>
  <conditionalFormatting sqref="AH20">
    <cfRule type="cellIs" dxfId="1" priority="16" operator="greaterThanOrEqual">
      <formula>0</formula>
    </cfRule>
    <cfRule type="cellIs" dxfId="0" priority="15" operator="lessThan">
      <formula>0</formula>
    </cfRule>
  </conditionalFormatting>
  <conditionalFormatting sqref="AB29">
    <cfRule type="cellIs" dxfId="0" priority="9" operator="lessThan">
      <formula>1</formula>
    </cfRule>
    <cfRule type="cellIs" dxfId="1" priority="10" operator="greaterThanOrEqual">
      <formula>1</formula>
    </cfRule>
  </conditionalFormatting>
  <conditionalFormatting sqref="AN29">
    <cfRule type="cellIs" dxfId="0" priority="5" operator="lessThan">
      <formula>1</formula>
    </cfRule>
    <cfRule type="cellIs" dxfId="1" priority="6" operator="greaterThanOrEqual">
      <formula>1</formula>
    </cfRule>
  </conditionalFormatting>
  <conditionalFormatting sqref="AB30">
    <cfRule type="cellIs" dxfId="0" priority="11" operator="lessThan">
      <formula>0</formula>
    </cfRule>
    <cfRule type="cellIs" dxfId="1" priority="12" operator="greaterThanOrEqual">
      <formula>0</formula>
    </cfRule>
  </conditionalFormatting>
  <conditionalFormatting sqref="AN30">
    <cfRule type="cellIs" dxfId="0" priority="7" operator="lessThan">
      <formula>0</formula>
    </cfRule>
    <cfRule type="cellIs" dxfId="1" priority="8" operator="greaterThanOrEqual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Data_Source</vt:lpstr>
      <vt:lpstr>Driver_Tree_View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NovelAn</cp:lastModifiedBy>
  <dcterms:created xsi:type="dcterms:W3CDTF">2026-01-08T09:53:00Z</dcterms:created>
  <dcterms:modified xsi:type="dcterms:W3CDTF">2026-01-10T02:29:32Z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6BC347D946821CF7FD9E5E69FACB6440_42</vt:lpwstr>
  </property>
</Properties>
</file>